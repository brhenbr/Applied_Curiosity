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EstaPasta_de_trabalho" defaultThemeVersion="124226"/>
  <bookViews>
    <workbookView xWindow="240" yWindow="105" windowWidth="19980" windowHeight="7815" activeTab="2"/>
  </bookViews>
  <sheets>
    <sheet name="Capa" sheetId="3" r:id="rId1"/>
    <sheet name="WBS" sheetId="2" r:id="rId2"/>
    <sheet name="Cronograma" sheetId="1" r:id="rId3"/>
    <sheet name="Apoio" sheetId="4" state="hidden" r:id="rId4"/>
  </sheets>
  <definedNames>
    <definedName name="_xlnm._FilterDatabase" localSheetId="2" hidden="1">Cronograma!$A$2:$F$31</definedName>
    <definedName name="Lista">Apoio!$A$2:$A$6</definedName>
  </definedNames>
  <calcPr calcId="125725"/>
</workbook>
</file>

<file path=xl/calcChain.xml><?xml version="1.0" encoding="utf-8"?>
<calcChain xmlns="http://schemas.openxmlformats.org/spreadsheetml/2006/main">
  <c r="B4" i="1"/>
  <c r="C29"/>
  <c r="B29"/>
  <c r="D31"/>
  <c r="D30"/>
  <c r="B26"/>
  <c r="C26"/>
  <c r="D28"/>
  <c r="D27"/>
  <c r="C23"/>
  <c r="B23"/>
  <c r="D25"/>
  <c r="D24"/>
  <c r="B18"/>
  <c r="C18"/>
  <c r="D22"/>
  <c r="D21"/>
  <c r="D20"/>
  <c r="D19"/>
  <c r="C14"/>
  <c r="B14"/>
  <c r="D17"/>
  <c r="D15"/>
  <c r="C10"/>
  <c r="B10"/>
  <c r="C4"/>
  <c r="C8"/>
  <c r="B8"/>
  <c r="D13"/>
  <c r="D12"/>
  <c r="D11"/>
  <c r="D9"/>
  <c r="D6"/>
  <c r="D7"/>
  <c r="D5"/>
  <c r="D18" l="1"/>
  <c r="D26"/>
  <c r="D10"/>
  <c r="D3"/>
  <c r="D29"/>
  <c r="D23"/>
  <c r="D8"/>
  <c r="D14"/>
  <c r="D4"/>
  <c r="D16"/>
</calcChain>
</file>

<file path=xl/sharedStrings.xml><?xml version="1.0" encoding="utf-8"?>
<sst xmlns="http://schemas.openxmlformats.org/spreadsheetml/2006/main" count="97" uniqueCount="67">
  <si>
    <t>Tarefas</t>
  </si>
  <si>
    <t>Dt. Inicio</t>
  </si>
  <si>
    <t>Dt. Fim</t>
  </si>
  <si>
    <t>Qtd. Dias</t>
  </si>
  <si>
    <t>Business Case</t>
  </si>
  <si>
    <t>Status</t>
  </si>
  <si>
    <t>Projeto</t>
  </si>
  <si>
    <t>1 - Planejamento e Gestão</t>
  </si>
  <si>
    <t>2 - Negócio</t>
  </si>
  <si>
    <t>3 - Arquitetura</t>
  </si>
  <si>
    <t>4 - Analise e Design</t>
  </si>
  <si>
    <t>5 - Desenvolvimento</t>
  </si>
  <si>
    <t>6 - Homologação</t>
  </si>
  <si>
    <t>7 - Implantação</t>
  </si>
  <si>
    <t xml:space="preserve">   1.1 - Reuniões</t>
  </si>
  <si>
    <t xml:space="preserve">   1.2 - Definir Escopo</t>
  </si>
  <si>
    <t xml:space="preserve">   1.3 - Plano de projeto</t>
  </si>
  <si>
    <t xml:space="preserve">   2.1 - Analise de Requisito</t>
  </si>
  <si>
    <t xml:space="preserve">   3.1 - Arquitetura Funcional</t>
  </si>
  <si>
    <t xml:space="preserve">   3.2 - Arquitetura Técnica</t>
  </si>
  <si>
    <t xml:space="preserve">   3.3 - Arquitetura Dados</t>
  </si>
  <si>
    <t xml:space="preserve">   4.1 - Especificação Testes</t>
  </si>
  <si>
    <t xml:space="preserve">   4.2 - Especificação SW</t>
  </si>
  <si>
    <t xml:space="preserve">   4.3 - Roadmap Implantação</t>
  </si>
  <si>
    <t xml:space="preserve">   5.1 - Implementação SW</t>
  </si>
  <si>
    <t xml:space="preserve">      5.1.1 - Componentes SW</t>
  </si>
  <si>
    <t xml:space="preserve">   5.2 - Testes SW</t>
  </si>
  <si>
    <t xml:space="preserve">      5.2.1 - Massa Teste SW</t>
  </si>
  <si>
    <t xml:space="preserve">   6.1 - Simulação</t>
  </si>
  <si>
    <t xml:space="preserve">      6.1.1 - User Accept</t>
  </si>
  <si>
    <t xml:space="preserve">   7.1 - Especificação Implantação</t>
  </si>
  <si>
    <t xml:space="preserve">   7.2 Instalação SW</t>
  </si>
  <si>
    <t xml:space="preserve">   8.1 - Monografia SW</t>
  </si>
  <si>
    <t xml:space="preserve">   8.2 - Workshop SW</t>
  </si>
  <si>
    <t>8 - Divulgação</t>
  </si>
  <si>
    <t>Entregáveis</t>
  </si>
  <si>
    <t>Concluído</t>
  </si>
  <si>
    <t>EAP
Cronograma</t>
  </si>
  <si>
    <t>Lista</t>
  </si>
  <si>
    <t>Andamento</t>
  </si>
  <si>
    <t>Atraso</t>
  </si>
  <si>
    <t>Iniciar</t>
  </si>
  <si>
    <t>Doc. de Requisitos</t>
  </si>
  <si>
    <t>Doc. de Arq. De serviço</t>
  </si>
  <si>
    <t>Doc. de Arq. SW</t>
  </si>
  <si>
    <t>Doc. De Arq. Dados</t>
  </si>
  <si>
    <t>Doc. de Teste</t>
  </si>
  <si>
    <t>Espec. de SW</t>
  </si>
  <si>
    <t>CRONOGRAMA</t>
  </si>
  <si>
    <t>Código Fonte</t>
  </si>
  <si>
    <t>Base de teste
Scripts</t>
  </si>
  <si>
    <t>Doc. de Aceite</t>
  </si>
  <si>
    <t>Doc. de direcionamento
Implantação</t>
  </si>
  <si>
    <t>Doc. De configuração
Implantação</t>
  </si>
  <si>
    <t>Doc. Monografia SW</t>
  </si>
  <si>
    <t>Apresentação SW</t>
  </si>
  <si>
    <t>Pós-Graduação em desenvolvimento de sistemas mainframe</t>
  </si>
  <si>
    <t>Projeto de Conclusão de Curso</t>
  </si>
  <si>
    <t>Bruno Henrique Brito</t>
  </si>
  <si>
    <t>Professor Orientador</t>
  </si>
  <si>
    <t>Aluno</t>
  </si>
  <si>
    <t>Maristela Weinfurter</t>
  </si>
  <si>
    <t>Março/2014</t>
  </si>
  <si>
    <t>ULT - União Latino-Americana de Tecnologia</t>
  </si>
  <si>
    <t>PLANO DE PROJETO DE SOFTWARE</t>
  </si>
  <si>
    <t>Cancelado</t>
  </si>
  <si>
    <t>Evidência de Teste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</si>
</sst>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8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/>
    </xf>
    <xf numFmtId="0" fontId="3" fillId="10" borderId="1" xfId="0" applyFont="1" applyFill="1" applyBorder="1" applyAlignment="1">
      <alignment horizontal="left" vertical="center"/>
    </xf>
    <xf numFmtId="0" fontId="3" fillId="11" borderId="1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3" fillId="12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9" fontId="4" fillId="3" borderId="1" xfId="0" applyNumberFormat="1" applyFont="1" applyFill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left" vertical="center"/>
    </xf>
    <xf numFmtId="0" fontId="2" fillId="13" borderId="0" xfId="0" applyFont="1" applyFill="1" applyAlignment="1">
      <alignment horizontal="center" vertical="center"/>
    </xf>
    <xf numFmtId="0" fontId="2" fillId="13" borderId="0" xfId="0" applyFont="1" applyFill="1" applyAlignment="1" applyProtection="1">
      <alignment horizontal="center" vertical="center"/>
    </xf>
    <xf numFmtId="14" fontId="2" fillId="13" borderId="0" xfId="0" applyNumberFormat="1" applyFont="1" applyFill="1" applyAlignment="1">
      <alignment horizontal="center" vertical="center"/>
    </xf>
    <xf numFmtId="9" fontId="2" fillId="13" borderId="0" xfId="0" applyNumberFormat="1" applyFont="1" applyFill="1" applyAlignment="1">
      <alignment horizontal="center" vertical="center"/>
    </xf>
    <xf numFmtId="14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4" fontId="3" fillId="7" borderId="1" xfId="0" applyNumberFormat="1" applyFont="1" applyFill="1" applyBorder="1" applyAlignment="1">
      <alignment horizontal="center" vertical="center"/>
    </xf>
    <xf numFmtId="14" fontId="3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4" fontId="3" fillId="9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4" fontId="3" fillId="10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3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9" fontId="3" fillId="7" borderId="1" xfId="0" applyNumberFormat="1" applyFont="1" applyFill="1" applyBorder="1" applyAlignment="1" applyProtection="1">
      <alignment horizontal="center" vertical="center"/>
      <protection locked="0"/>
    </xf>
    <xf numFmtId="9" fontId="3" fillId="8" borderId="1" xfId="0" applyNumberFormat="1" applyFont="1" applyFill="1" applyBorder="1" applyAlignment="1" applyProtection="1">
      <alignment horizontal="center" vertical="center"/>
      <protection locked="0"/>
    </xf>
    <xf numFmtId="9" fontId="6" fillId="0" borderId="1" xfId="0" applyNumberFormat="1" applyFont="1" applyBorder="1" applyAlignment="1" applyProtection="1">
      <alignment horizontal="center" vertical="center"/>
      <protection locked="0"/>
    </xf>
    <xf numFmtId="9" fontId="3" fillId="9" borderId="1" xfId="0" applyNumberFormat="1" applyFont="1" applyFill="1" applyBorder="1" applyAlignment="1" applyProtection="1">
      <alignment horizontal="center" vertical="center"/>
      <protection locked="0"/>
    </xf>
    <xf numFmtId="9" fontId="3" fillId="5" borderId="1" xfId="0" applyNumberFormat="1" applyFont="1" applyFill="1" applyBorder="1" applyAlignment="1" applyProtection="1">
      <alignment horizontal="center" vertical="center"/>
      <protection locked="0"/>
    </xf>
    <xf numFmtId="9" fontId="3" fillId="10" borderId="1" xfId="0" applyNumberFormat="1" applyFont="1" applyFill="1" applyBorder="1" applyAlignment="1" applyProtection="1">
      <alignment horizontal="center" vertical="center"/>
      <protection locked="0"/>
    </xf>
    <xf numFmtId="9" fontId="3" fillId="11" borderId="1" xfId="0" applyNumberFormat="1" applyFont="1" applyFill="1" applyBorder="1" applyAlignment="1" applyProtection="1">
      <alignment horizontal="center" vertical="center"/>
      <protection locked="0"/>
    </xf>
    <xf numFmtId="9" fontId="3" fillId="6" borderId="1" xfId="0" applyNumberFormat="1" applyFont="1" applyFill="1" applyBorder="1" applyAlignment="1" applyProtection="1">
      <alignment horizontal="center" vertical="center"/>
      <protection locked="0"/>
    </xf>
    <xf numFmtId="9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0" fillId="13" borderId="0" xfId="0" applyFill="1"/>
    <xf numFmtId="0" fontId="0" fillId="13" borderId="0" xfId="0" applyFill="1" applyAlignment="1"/>
    <xf numFmtId="0" fontId="0" fillId="13" borderId="3" xfId="0" applyFill="1" applyBorder="1" applyAlignment="1"/>
    <xf numFmtId="0" fontId="0" fillId="13" borderId="4" xfId="0" applyFill="1" applyBorder="1" applyAlignment="1"/>
    <xf numFmtId="0" fontId="0" fillId="13" borderId="5" xfId="0" applyFill="1" applyBorder="1" applyAlignment="1"/>
    <xf numFmtId="0" fontId="0" fillId="13" borderId="6" xfId="0" applyFill="1" applyBorder="1" applyAlignment="1"/>
    <xf numFmtId="0" fontId="0" fillId="13" borderId="0" xfId="0" applyFill="1" applyBorder="1" applyAlignment="1"/>
    <xf numFmtId="0" fontId="0" fillId="13" borderId="7" xfId="0" applyFill="1" applyBorder="1" applyAlignment="1"/>
    <xf numFmtId="0" fontId="0" fillId="13" borderId="8" xfId="0" applyFill="1" applyBorder="1" applyAlignment="1"/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9" xfId="0" applyFill="1" applyBorder="1"/>
    <xf numFmtId="0" fontId="0" fillId="13" borderId="7" xfId="0" applyFill="1" applyBorder="1"/>
    <xf numFmtId="0" fontId="3" fillId="17" borderId="1" xfId="0" applyFont="1" applyFill="1" applyBorder="1" applyAlignment="1">
      <alignment horizontal="left" vertical="center"/>
    </xf>
    <xf numFmtId="14" fontId="3" fillId="17" borderId="1" xfId="0" applyNumberFormat="1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left" vertical="center"/>
    </xf>
    <xf numFmtId="14" fontId="3" fillId="18" borderId="1" xfId="0" applyNumberFormat="1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/>
    </xf>
    <xf numFmtId="0" fontId="7" fillId="16" borderId="19" xfId="0" applyFont="1" applyFill="1" applyBorder="1" applyAlignment="1">
      <alignment horizontal="center"/>
    </xf>
    <xf numFmtId="0" fontId="7" fillId="16" borderId="20" xfId="0" applyFont="1" applyFill="1" applyBorder="1" applyAlignment="1">
      <alignment horizontal="center"/>
    </xf>
    <xf numFmtId="0" fontId="7" fillId="16" borderId="21" xfId="0" applyFont="1" applyFill="1" applyBorder="1" applyAlignment="1">
      <alignment horizontal="center"/>
    </xf>
    <xf numFmtId="0" fontId="0" fillId="13" borderId="16" xfId="0" applyFill="1" applyBorder="1" applyAlignment="1" applyProtection="1">
      <alignment horizontal="center"/>
    </xf>
    <xf numFmtId="0" fontId="0" fillId="13" borderId="17" xfId="0" applyFill="1" applyBorder="1" applyAlignment="1" applyProtection="1">
      <alignment horizontal="center"/>
    </xf>
    <xf numFmtId="0" fontId="0" fillId="13" borderId="18" xfId="0" applyFill="1" applyBorder="1" applyAlignment="1" applyProtection="1">
      <alignment horizontal="center"/>
    </xf>
    <xf numFmtId="0" fontId="1" fillId="15" borderId="11" xfId="0" applyFont="1" applyFill="1" applyBorder="1" applyAlignment="1" applyProtection="1">
      <alignment horizontal="center"/>
    </xf>
    <xf numFmtId="0" fontId="1" fillId="15" borderId="1" xfId="0" applyFont="1" applyFill="1" applyBorder="1" applyAlignment="1" applyProtection="1">
      <alignment horizontal="center"/>
    </xf>
    <xf numFmtId="0" fontId="1" fillId="15" borderId="12" xfId="0" applyFont="1" applyFill="1" applyBorder="1" applyAlignment="1" applyProtection="1">
      <alignment horizontal="center"/>
    </xf>
    <xf numFmtId="0" fontId="6" fillId="13" borderId="0" xfId="0" applyFont="1" applyFill="1" applyBorder="1" applyAlignment="1">
      <alignment horizontal="center"/>
    </xf>
    <xf numFmtId="0" fontId="7" fillId="13" borderId="0" xfId="0" applyFont="1" applyFill="1" applyBorder="1" applyAlignment="1">
      <alignment horizontal="center"/>
    </xf>
    <xf numFmtId="0" fontId="8" fillId="13" borderId="0" xfId="0" applyFont="1" applyFill="1" applyBorder="1" applyAlignment="1">
      <alignment horizontal="center"/>
    </xf>
    <xf numFmtId="49" fontId="1" fillId="4" borderId="13" xfId="0" applyNumberFormat="1" applyFont="1" applyFill="1" applyBorder="1" applyAlignment="1" applyProtection="1">
      <alignment horizontal="center"/>
    </xf>
    <xf numFmtId="49" fontId="1" fillId="4" borderId="14" xfId="0" applyNumberFormat="1" applyFont="1" applyFill="1" applyBorder="1" applyAlignment="1" applyProtection="1">
      <alignment horizontal="center"/>
    </xf>
    <xf numFmtId="49" fontId="1" fillId="4" borderId="15" xfId="0" applyNumberFormat="1" applyFont="1" applyFill="1" applyBorder="1" applyAlignment="1" applyProtection="1">
      <alignment horizontal="center"/>
    </xf>
    <xf numFmtId="0" fontId="0" fillId="13" borderId="0" xfId="0" applyFill="1" applyAlignment="1">
      <alignment horizontal="center"/>
    </xf>
    <xf numFmtId="0" fontId="5" fillId="14" borderId="2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  <color theme="0"/>
      </font>
      <fill>
        <patternFill>
          <bgColor theme="1"/>
        </patternFill>
      </fill>
    </dxf>
    <dxf>
      <fill>
        <patternFill>
          <bgColor theme="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  <color rgb="FFFF9900"/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0</xdr:row>
      <xdr:rowOff>142875</xdr:rowOff>
    </xdr:from>
    <xdr:to>
      <xdr:col>10</xdr:col>
      <xdr:colOff>476250</xdr:colOff>
      <xdr:row>6</xdr:row>
      <xdr:rowOff>84467</xdr:rowOff>
    </xdr:to>
    <xdr:pic>
      <xdr:nvPicPr>
        <xdr:cNvPr id="2" name="Imagem 1" descr="logo201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53000" y="142875"/>
          <a:ext cx="1619250" cy="1084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28575</xdr:rowOff>
    </xdr:from>
    <xdr:to>
      <xdr:col>20</xdr:col>
      <xdr:colOff>123825</xdr:colOff>
      <xdr:row>25</xdr:row>
      <xdr:rowOff>0</xdr:rowOff>
    </xdr:to>
    <xdr:pic>
      <xdr:nvPicPr>
        <xdr:cNvPr id="2" name="Imagem 1" descr="WBS-Projet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28575"/>
          <a:ext cx="12315824" cy="4733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T24"/>
  <sheetViews>
    <sheetView workbookViewId="0">
      <pane xSplit="20" ySplit="23" topLeftCell="XEZ24" activePane="bottomRight" state="frozen"/>
      <selection pane="topRight" activeCell="U1" sqref="U1"/>
      <selection pane="bottomLeft" activeCell="A25" sqref="A25"/>
      <selection pane="bottomRight" activeCell="C6" sqref="C6"/>
    </sheetView>
  </sheetViews>
  <sheetFormatPr defaultRowHeight="15"/>
  <cols>
    <col min="1" max="16384" width="9.140625" style="44"/>
  </cols>
  <sheetData>
    <row r="1" spans="1:20">
      <c r="A1" s="46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8"/>
    </row>
    <row r="2" spans="1:20">
      <c r="A2" s="49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1"/>
    </row>
    <row r="3" spans="1:20">
      <c r="A3" s="49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1"/>
    </row>
    <row r="4" spans="1:20">
      <c r="A4" s="49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1"/>
    </row>
    <row r="5" spans="1:20">
      <c r="A5" s="49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1"/>
    </row>
    <row r="6" spans="1:20">
      <c r="A6" s="49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1"/>
    </row>
    <row r="7" spans="1:20">
      <c r="A7" s="49"/>
      <c r="B7" s="50"/>
      <c r="C7" s="50"/>
      <c r="D7" s="50"/>
      <c r="E7" s="50"/>
      <c r="K7" s="50"/>
      <c r="L7" s="50"/>
      <c r="M7" s="50"/>
      <c r="N7" s="50"/>
      <c r="O7" s="50"/>
      <c r="P7" s="50"/>
      <c r="Q7" s="50"/>
      <c r="R7" s="50"/>
      <c r="S7" s="50"/>
      <c r="T7" s="51"/>
    </row>
    <row r="8" spans="1:20" ht="21">
      <c r="A8" s="49"/>
      <c r="B8" s="50"/>
      <c r="C8" s="74" t="s">
        <v>63</v>
      </c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T8" s="56"/>
    </row>
    <row r="9" spans="1:20" ht="18.75">
      <c r="A9" s="49"/>
      <c r="B9" s="50"/>
      <c r="C9" s="75" t="s">
        <v>56</v>
      </c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T9" s="56"/>
    </row>
    <row r="10" spans="1:20" ht="15.75">
      <c r="C10" s="73" t="s">
        <v>57</v>
      </c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T10" s="56"/>
    </row>
    <row r="11" spans="1:20">
      <c r="N11" s="50"/>
      <c r="O11" s="50"/>
      <c r="P11" s="50"/>
      <c r="Q11" s="50"/>
      <c r="R11" s="50"/>
      <c r="T11" s="56"/>
    </row>
    <row r="12" spans="1:20">
      <c r="N12" s="50"/>
      <c r="O12" s="50"/>
      <c r="P12" s="50"/>
      <c r="Q12" s="50"/>
      <c r="R12" s="50"/>
      <c r="T12" s="56"/>
    </row>
    <row r="13" spans="1:20">
      <c r="H13" s="70" t="s">
        <v>60</v>
      </c>
      <c r="I13" s="71"/>
      <c r="J13" s="71"/>
      <c r="K13" s="71"/>
      <c r="L13" s="72"/>
      <c r="N13" s="50"/>
      <c r="O13" s="50"/>
      <c r="P13" s="50"/>
      <c r="Q13" s="50"/>
      <c r="R13" s="50"/>
      <c r="T13" s="56"/>
    </row>
    <row r="14" spans="1:20">
      <c r="H14" s="67" t="s">
        <v>58</v>
      </c>
      <c r="I14" s="68"/>
      <c r="J14" s="68"/>
      <c r="K14" s="68"/>
      <c r="L14" s="69"/>
      <c r="N14" s="50"/>
      <c r="O14" s="50"/>
      <c r="P14" s="50"/>
      <c r="Q14" s="50"/>
      <c r="R14" s="50"/>
      <c r="T14" s="56"/>
    </row>
    <row r="15" spans="1:20">
      <c r="H15" s="70" t="s">
        <v>59</v>
      </c>
      <c r="I15" s="71"/>
      <c r="J15" s="71"/>
      <c r="K15" s="71"/>
      <c r="L15" s="72"/>
      <c r="N15" s="50"/>
      <c r="O15" s="50"/>
      <c r="P15" s="50"/>
      <c r="Q15" s="50"/>
      <c r="R15" s="50"/>
      <c r="T15" s="56"/>
    </row>
    <row r="16" spans="1:20">
      <c r="H16" s="67" t="s">
        <v>61</v>
      </c>
      <c r="I16" s="68"/>
      <c r="J16" s="68"/>
      <c r="K16" s="68"/>
      <c r="L16" s="69"/>
      <c r="N16" s="50"/>
      <c r="O16" s="50"/>
      <c r="P16" s="50"/>
      <c r="Q16" s="50"/>
      <c r="R16" s="50"/>
      <c r="T16" s="56"/>
    </row>
    <row r="17" spans="1:20" ht="15.75" thickBot="1">
      <c r="H17" s="76" t="s">
        <v>62</v>
      </c>
      <c r="I17" s="77"/>
      <c r="J17" s="77"/>
      <c r="K17" s="77"/>
      <c r="L17" s="78"/>
      <c r="N17" s="50"/>
      <c r="O17" s="50"/>
      <c r="P17" s="50"/>
      <c r="Q17" s="50"/>
      <c r="R17" s="50"/>
      <c r="T17" s="56"/>
    </row>
    <row r="18" spans="1:20">
      <c r="F18" s="50"/>
      <c r="N18" s="50"/>
      <c r="O18" s="50"/>
      <c r="P18" s="50"/>
      <c r="Q18" s="50"/>
      <c r="R18" s="50"/>
      <c r="T18" s="56"/>
    </row>
    <row r="19" spans="1:20" ht="15.75" thickBot="1">
      <c r="F19" s="50"/>
      <c r="N19" s="50"/>
      <c r="O19" s="50"/>
      <c r="P19" s="50"/>
      <c r="Q19" s="50"/>
      <c r="R19" s="50"/>
      <c r="S19" s="50"/>
      <c r="T19" s="51"/>
    </row>
    <row r="20" spans="1:20" ht="21.75" thickBot="1">
      <c r="C20" s="64" t="s">
        <v>64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6"/>
      <c r="S20" s="50"/>
      <c r="T20" s="51"/>
    </row>
    <row r="21" spans="1:20">
      <c r="F21" s="50"/>
      <c r="G21" s="50"/>
      <c r="M21" s="50"/>
      <c r="N21" s="50"/>
      <c r="O21" s="50"/>
      <c r="P21" s="50"/>
      <c r="Q21" s="50"/>
      <c r="R21" s="50"/>
      <c r="S21" s="50"/>
      <c r="T21" s="51"/>
    </row>
    <row r="22" spans="1:20">
      <c r="A22" s="49"/>
      <c r="B22" s="50"/>
      <c r="C22" s="50"/>
      <c r="D22" s="50"/>
      <c r="E22" s="50"/>
      <c r="F22" s="50"/>
      <c r="G22" s="50"/>
      <c r="M22" s="50"/>
      <c r="N22" s="50"/>
      <c r="O22" s="50"/>
      <c r="P22" s="50"/>
      <c r="Q22" s="50"/>
      <c r="R22" s="50"/>
      <c r="S22" s="50"/>
      <c r="T22" s="51"/>
    </row>
    <row r="23" spans="1:20" ht="15.75" thickBot="1">
      <c r="A23" s="52"/>
      <c r="B23" s="53"/>
      <c r="C23" s="53"/>
      <c r="D23" s="53"/>
      <c r="E23" s="53"/>
      <c r="F23" s="53"/>
      <c r="G23" s="53"/>
      <c r="H23" s="55"/>
      <c r="I23" s="55"/>
      <c r="J23" s="55"/>
      <c r="K23" s="55"/>
      <c r="L23" s="55"/>
      <c r="M23" s="53"/>
      <c r="N23" s="53"/>
      <c r="O23" s="53"/>
      <c r="P23" s="53"/>
      <c r="Q23" s="53"/>
      <c r="R23" s="53"/>
      <c r="S23" s="53"/>
      <c r="T23" s="54"/>
    </row>
    <row r="24" spans="1:20">
      <c r="A24" s="45"/>
      <c r="B24" s="45"/>
      <c r="C24" s="45"/>
      <c r="D24" s="45"/>
      <c r="E24" s="45"/>
      <c r="F24" s="45"/>
      <c r="G24" s="45"/>
      <c r="M24" s="45"/>
      <c r="N24" s="45"/>
      <c r="O24" s="45"/>
      <c r="P24" s="45"/>
      <c r="Q24" s="45"/>
      <c r="R24" s="45"/>
      <c r="S24" s="45"/>
      <c r="T24" s="45"/>
    </row>
  </sheetData>
  <sheetProtection sheet="1" objects="1" scenarios="1" selectLockedCells="1" selectUnlockedCells="1"/>
  <mergeCells count="9">
    <mergeCell ref="C20:R20"/>
    <mergeCell ref="H14:L14"/>
    <mergeCell ref="H13:L13"/>
    <mergeCell ref="C10:R10"/>
    <mergeCell ref="C8:R8"/>
    <mergeCell ref="C9:R9"/>
    <mergeCell ref="H15:L15"/>
    <mergeCell ref="H17:L17"/>
    <mergeCell ref="H16:L1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T25"/>
  <sheetViews>
    <sheetView topLeftCell="C6" workbookViewId="0">
      <selection activeCell="V11" sqref="V11"/>
    </sheetView>
  </sheetViews>
  <sheetFormatPr defaultRowHeight="15"/>
  <cols>
    <col min="1" max="16384" width="9.140625" style="44"/>
  </cols>
  <sheetData>
    <row r="1" spans="1:20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</row>
    <row r="2" spans="1:20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</row>
    <row r="3" spans="1:20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</row>
    <row r="4" spans="1:20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</row>
    <row r="5" spans="1:20">
      <c r="A5" s="79"/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</row>
    <row r="6" spans="1:20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</row>
    <row r="7" spans="1:20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</row>
    <row r="8" spans="1:20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</row>
    <row r="9" spans="1:20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</row>
    <row r="10" spans="1:20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</row>
    <row r="11" spans="1:20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</row>
    <row r="12" spans="1:20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0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</row>
    <row r="14" spans="1:20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</row>
    <row r="15" spans="1:20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</row>
    <row r="16" spans="1:20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</row>
    <row r="17" spans="1:20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</row>
    <row r="18" spans="1:20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</row>
    <row r="19" spans="1:20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</row>
    <row r="20" spans="1:20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</row>
    <row r="21" spans="1:20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</row>
    <row r="22" spans="1:20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</row>
    <row r="23" spans="1:20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</row>
    <row r="24" spans="1:20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</row>
    <row r="25" spans="1:20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</row>
  </sheetData>
  <mergeCells count="1">
    <mergeCell ref="A1:T25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>
    <outlinePr summaryBelow="0"/>
  </sheetPr>
  <dimension ref="A1:F31"/>
  <sheetViews>
    <sheetView tabSelected="1" workbookViewId="0">
      <pane ySplit="3" topLeftCell="A17" activePane="bottomLeft" state="frozen"/>
      <selection pane="bottomLeft" activeCell="F17" sqref="F17"/>
    </sheetView>
  </sheetViews>
  <sheetFormatPr defaultRowHeight="12.75"/>
  <cols>
    <col min="1" max="1" width="35.7109375" style="18" customWidth="1"/>
    <col min="2" max="3" width="15.7109375" style="20" customWidth="1"/>
    <col min="4" max="4" width="15.7109375" style="18" customWidth="1"/>
    <col min="5" max="5" width="15.7109375" style="21" customWidth="1"/>
    <col min="6" max="6" width="30.7109375" style="18" customWidth="1"/>
    <col min="7" max="8" width="9.140625" style="19"/>
    <col min="9" max="9" width="10.28515625" style="19" bestFit="1" customWidth="1"/>
    <col min="10" max="10" width="10.7109375" style="19" bestFit="1" customWidth="1"/>
    <col min="11" max="16384" width="9.140625" style="19"/>
  </cols>
  <sheetData>
    <row r="1" spans="1:6" ht="23.25">
      <c r="A1" s="80" t="s">
        <v>48</v>
      </c>
      <c r="B1" s="80"/>
      <c r="C1" s="80"/>
      <c r="D1" s="80"/>
      <c r="E1" s="80"/>
      <c r="F1" s="80"/>
    </row>
    <row r="2" spans="1:6" ht="18.75">
      <c r="A2" s="11" t="s">
        <v>0</v>
      </c>
      <c r="B2" s="12" t="s">
        <v>1</v>
      </c>
      <c r="C2" s="12" t="s">
        <v>2</v>
      </c>
      <c r="D2" s="11" t="s">
        <v>3</v>
      </c>
      <c r="E2" s="13" t="s">
        <v>5</v>
      </c>
      <c r="F2" s="11" t="s">
        <v>35</v>
      </c>
    </row>
    <row r="3" spans="1:6" ht="15.75">
      <c r="A3" s="10" t="s">
        <v>6</v>
      </c>
      <c r="B3" s="24">
        <v>41730</v>
      </c>
      <c r="C3" s="24">
        <v>41790</v>
      </c>
      <c r="D3" s="10">
        <f t="shared" ref="D3" si="0">DAYS360(B3,C3)</f>
        <v>60</v>
      </c>
      <c r="E3" s="35" t="s">
        <v>39</v>
      </c>
      <c r="F3" s="10"/>
    </row>
    <row r="4" spans="1:6" ht="15.75">
      <c r="A4" s="3" t="s">
        <v>7</v>
      </c>
      <c r="B4" s="25">
        <f>SMALL(B5:B7,1)</f>
        <v>41730</v>
      </c>
      <c r="C4" s="25">
        <f>LARGE(C5:C7,1)</f>
        <v>41752</v>
      </c>
      <c r="D4" s="26">
        <f t="shared" ref="D4:D5" si="1">DAYS360(B4,C4)</f>
        <v>22</v>
      </c>
      <c r="E4" s="36" t="s">
        <v>36</v>
      </c>
      <c r="F4" s="26"/>
    </row>
    <row r="5" spans="1:6" ht="15.75">
      <c r="A5" s="4" t="s">
        <v>14</v>
      </c>
      <c r="B5" s="14">
        <v>41730</v>
      </c>
      <c r="C5" s="14">
        <v>41744</v>
      </c>
      <c r="D5" s="15">
        <f t="shared" si="1"/>
        <v>14</v>
      </c>
      <c r="E5" s="37" t="s">
        <v>36</v>
      </c>
      <c r="F5" s="15" t="s">
        <v>4</v>
      </c>
    </row>
    <row r="6" spans="1:6" ht="15.75">
      <c r="A6" s="4" t="s">
        <v>15</v>
      </c>
      <c r="B6" s="14">
        <v>41730</v>
      </c>
      <c r="C6" s="14">
        <v>41744</v>
      </c>
      <c r="D6" s="15">
        <f t="shared" ref="D6:D31" si="2">DAYS360(B6,C6)</f>
        <v>14</v>
      </c>
      <c r="E6" s="37" t="s">
        <v>36</v>
      </c>
      <c r="F6" s="15" t="s">
        <v>4</v>
      </c>
    </row>
    <row r="7" spans="1:6" ht="31.5">
      <c r="A7" s="4" t="s">
        <v>16</v>
      </c>
      <c r="B7" s="14">
        <v>41745</v>
      </c>
      <c r="C7" s="14">
        <v>41752</v>
      </c>
      <c r="D7" s="15">
        <f t="shared" si="2"/>
        <v>7</v>
      </c>
      <c r="E7" s="37" t="s">
        <v>36</v>
      </c>
      <c r="F7" s="16" t="s">
        <v>37</v>
      </c>
    </row>
    <row r="8" spans="1:6" ht="15.75">
      <c r="A8" s="5" t="s">
        <v>8</v>
      </c>
      <c r="B8" s="27">
        <f>SMALL(B9,1)</f>
        <v>41744</v>
      </c>
      <c r="C8" s="27">
        <f>LARGE(C9,1)</f>
        <v>41759</v>
      </c>
      <c r="D8" s="28">
        <f t="shared" si="2"/>
        <v>15</v>
      </c>
      <c r="E8" s="38" t="s">
        <v>36</v>
      </c>
      <c r="F8" s="28"/>
    </row>
    <row r="9" spans="1:6" ht="15.75">
      <c r="A9" s="4" t="s">
        <v>17</v>
      </c>
      <c r="B9" s="14">
        <v>41744</v>
      </c>
      <c r="C9" s="14">
        <v>41759</v>
      </c>
      <c r="D9" s="15">
        <f t="shared" si="2"/>
        <v>15</v>
      </c>
      <c r="E9" s="37" t="s">
        <v>36</v>
      </c>
      <c r="F9" s="15" t="s">
        <v>42</v>
      </c>
    </row>
    <row r="10" spans="1:6" ht="15.75">
      <c r="A10" s="57" t="s">
        <v>9</v>
      </c>
      <c r="B10" s="58">
        <f>SMALL(B11:B13,1)</f>
        <v>41744</v>
      </c>
      <c r="C10" s="58">
        <f>LARGE(C11:C13,1)</f>
        <v>41754</v>
      </c>
      <c r="D10" s="59">
        <f t="shared" si="2"/>
        <v>10</v>
      </c>
      <c r="E10" s="39" t="s">
        <v>36</v>
      </c>
      <c r="F10" s="59"/>
    </row>
    <row r="11" spans="1:6" ht="15.75">
      <c r="A11" s="4" t="s">
        <v>18</v>
      </c>
      <c r="B11" s="14">
        <v>41744</v>
      </c>
      <c r="C11" s="14">
        <v>41754</v>
      </c>
      <c r="D11" s="15">
        <f t="shared" si="2"/>
        <v>10</v>
      </c>
      <c r="E11" s="39" t="s">
        <v>36</v>
      </c>
      <c r="F11" s="15" t="s">
        <v>43</v>
      </c>
    </row>
    <row r="12" spans="1:6" ht="15.75">
      <c r="A12" s="4" t="s">
        <v>19</v>
      </c>
      <c r="B12" s="14">
        <v>41744</v>
      </c>
      <c r="C12" s="14">
        <v>41754</v>
      </c>
      <c r="D12" s="15">
        <f t="shared" si="2"/>
        <v>10</v>
      </c>
      <c r="E12" s="39" t="s">
        <v>36</v>
      </c>
      <c r="F12" s="15" t="s">
        <v>44</v>
      </c>
    </row>
    <row r="13" spans="1:6" ht="15.75">
      <c r="A13" s="4" t="s">
        <v>20</v>
      </c>
      <c r="B13" s="14">
        <v>41744</v>
      </c>
      <c r="C13" s="14">
        <v>41754</v>
      </c>
      <c r="D13" s="15">
        <f t="shared" si="2"/>
        <v>10</v>
      </c>
      <c r="E13" s="39" t="s">
        <v>36</v>
      </c>
      <c r="F13" s="15" t="s">
        <v>45</v>
      </c>
    </row>
    <row r="14" spans="1:6" ht="15.75">
      <c r="A14" s="60" t="s">
        <v>10</v>
      </c>
      <c r="B14" s="61">
        <f>SMALL(B15:B17,1)</f>
        <v>41749</v>
      </c>
      <c r="C14" s="61">
        <f>LARGE(C15:C17,1)</f>
        <v>41754</v>
      </c>
      <c r="D14" s="62">
        <f t="shared" si="2"/>
        <v>5</v>
      </c>
      <c r="E14" s="39" t="s">
        <v>36</v>
      </c>
      <c r="F14" s="62"/>
    </row>
    <row r="15" spans="1:6" ht="15.75">
      <c r="A15" s="4" t="s">
        <v>21</v>
      </c>
      <c r="B15" s="14">
        <v>41749</v>
      </c>
      <c r="C15" s="14">
        <v>41754</v>
      </c>
      <c r="D15" s="15">
        <f t="shared" si="2"/>
        <v>5</v>
      </c>
      <c r="E15" s="39" t="s">
        <v>36</v>
      </c>
      <c r="F15" s="15" t="s">
        <v>46</v>
      </c>
    </row>
    <row r="16" spans="1:6" ht="15.75">
      <c r="A16" s="4" t="s">
        <v>22</v>
      </c>
      <c r="B16" s="14">
        <v>41749</v>
      </c>
      <c r="C16" s="14">
        <v>41754</v>
      </c>
      <c r="D16" s="15">
        <f t="shared" si="2"/>
        <v>5</v>
      </c>
      <c r="E16" s="39" t="s">
        <v>36</v>
      </c>
      <c r="F16" s="15" t="s">
        <v>47</v>
      </c>
    </row>
    <row r="17" spans="1:6" ht="31.5">
      <c r="A17" s="4" t="s">
        <v>23</v>
      </c>
      <c r="B17" s="14">
        <v>41749</v>
      </c>
      <c r="C17" s="14">
        <v>41754</v>
      </c>
      <c r="D17" s="15">
        <f t="shared" si="2"/>
        <v>5</v>
      </c>
      <c r="E17" s="37" t="s">
        <v>65</v>
      </c>
      <c r="F17" s="16" t="s">
        <v>52</v>
      </c>
    </row>
    <row r="18" spans="1:6" ht="15.75">
      <c r="A18" s="6" t="s">
        <v>11</v>
      </c>
      <c r="B18" s="29">
        <f>SMALL(B19:B22,1)</f>
        <v>41755</v>
      </c>
      <c r="C18" s="29">
        <f>LARGE(C19:C22,1)</f>
        <v>41769</v>
      </c>
      <c r="D18" s="30">
        <f t="shared" si="2"/>
        <v>14</v>
      </c>
      <c r="E18" s="40" t="s">
        <v>39</v>
      </c>
      <c r="F18" s="30"/>
    </row>
    <row r="19" spans="1:6" ht="15.75">
      <c r="A19" s="17" t="s">
        <v>24</v>
      </c>
      <c r="B19" s="14">
        <v>41755</v>
      </c>
      <c r="C19" s="14">
        <v>41762</v>
      </c>
      <c r="D19" s="15">
        <f t="shared" si="2"/>
        <v>7</v>
      </c>
      <c r="E19" s="37" t="s">
        <v>39</v>
      </c>
      <c r="F19" s="15"/>
    </row>
    <row r="20" spans="1:6" ht="15.75">
      <c r="A20" s="17" t="s">
        <v>25</v>
      </c>
      <c r="B20" s="14">
        <v>41755</v>
      </c>
      <c r="C20" s="14">
        <v>41762</v>
      </c>
      <c r="D20" s="15">
        <f t="shared" si="2"/>
        <v>7</v>
      </c>
      <c r="E20" s="37" t="s">
        <v>39</v>
      </c>
      <c r="F20" s="15" t="s">
        <v>49</v>
      </c>
    </row>
    <row r="21" spans="1:6" ht="15.75">
      <c r="A21" s="17" t="s">
        <v>26</v>
      </c>
      <c r="B21" s="14">
        <v>41759</v>
      </c>
      <c r="C21" s="14">
        <v>41769</v>
      </c>
      <c r="D21" s="15">
        <f t="shared" si="2"/>
        <v>10</v>
      </c>
      <c r="E21" s="37" t="s">
        <v>41</v>
      </c>
      <c r="F21" s="15" t="s">
        <v>66</v>
      </c>
    </row>
    <row r="22" spans="1:6" ht="31.5">
      <c r="A22" s="17" t="s">
        <v>27</v>
      </c>
      <c r="B22" s="14">
        <v>41759</v>
      </c>
      <c r="C22" s="14">
        <v>41769</v>
      </c>
      <c r="D22" s="15">
        <f t="shared" si="2"/>
        <v>10</v>
      </c>
      <c r="E22" s="37" t="s">
        <v>39</v>
      </c>
      <c r="F22" s="16" t="s">
        <v>50</v>
      </c>
    </row>
    <row r="23" spans="1:6" ht="15.75">
      <c r="A23" s="7" t="s">
        <v>12</v>
      </c>
      <c r="B23" s="31">
        <f>SMALL(B24:B25,1)</f>
        <v>41770</v>
      </c>
      <c r="C23" s="31">
        <f>LARGE(C24:C25,1)</f>
        <v>41777</v>
      </c>
      <c r="D23" s="32">
        <f t="shared" si="2"/>
        <v>7</v>
      </c>
      <c r="E23" s="41" t="s">
        <v>41</v>
      </c>
      <c r="F23" s="32"/>
    </row>
    <row r="24" spans="1:6" ht="15.75">
      <c r="A24" s="4" t="s">
        <v>28</v>
      </c>
      <c r="B24" s="14">
        <v>41770</v>
      </c>
      <c r="C24" s="14">
        <v>41776</v>
      </c>
      <c r="D24" s="15">
        <f t="shared" si="2"/>
        <v>6</v>
      </c>
      <c r="E24" s="37" t="s">
        <v>41</v>
      </c>
      <c r="F24" s="15"/>
    </row>
    <row r="25" spans="1:6" ht="15.75">
      <c r="A25" s="4" t="s">
        <v>29</v>
      </c>
      <c r="B25" s="14">
        <v>41776</v>
      </c>
      <c r="C25" s="14">
        <v>41777</v>
      </c>
      <c r="D25" s="15">
        <f t="shared" si="2"/>
        <v>1</v>
      </c>
      <c r="E25" s="37" t="s">
        <v>41</v>
      </c>
      <c r="F25" s="15" t="s">
        <v>51</v>
      </c>
    </row>
    <row r="26" spans="1:6" ht="15.75">
      <c r="A26" s="8" t="s">
        <v>13</v>
      </c>
      <c r="B26" s="22">
        <f>SMALL(B27:B28,1)</f>
        <v>41778</v>
      </c>
      <c r="C26" s="22">
        <f>LARGE(C27:C28,1)</f>
        <v>41784</v>
      </c>
      <c r="D26" s="23">
        <f t="shared" si="2"/>
        <v>6</v>
      </c>
      <c r="E26" s="42" t="s">
        <v>41</v>
      </c>
      <c r="F26" s="23"/>
    </row>
    <row r="27" spans="1:6" ht="31.5">
      <c r="A27" s="4" t="s">
        <v>30</v>
      </c>
      <c r="B27" s="14">
        <v>41778</v>
      </c>
      <c r="C27" s="14">
        <v>41781</v>
      </c>
      <c r="D27" s="15">
        <f t="shared" si="2"/>
        <v>3</v>
      </c>
      <c r="E27" s="37" t="s">
        <v>41</v>
      </c>
      <c r="F27" s="16" t="s">
        <v>53</v>
      </c>
    </row>
    <row r="28" spans="1:6" ht="15.75">
      <c r="A28" s="4" t="s">
        <v>31</v>
      </c>
      <c r="B28" s="14">
        <v>41782</v>
      </c>
      <c r="C28" s="14">
        <v>41784</v>
      </c>
      <c r="D28" s="15">
        <f t="shared" si="2"/>
        <v>2</v>
      </c>
      <c r="E28" s="37" t="s">
        <v>41</v>
      </c>
      <c r="F28" s="16"/>
    </row>
    <row r="29" spans="1:6" ht="15.75">
      <c r="A29" s="9" t="s">
        <v>34</v>
      </c>
      <c r="B29" s="33">
        <f>SMALL(B30:B31,1)</f>
        <v>41782</v>
      </c>
      <c r="C29" s="33">
        <f>LARGE(C30:C31,1)</f>
        <v>41784</v>
      </c>
      <c r="D29" s="34">
        <f t="shared" si="2"/>
        <v>2</v>
      </c>
      <c r="E29" s="43" t="s">
        <v>41</v>
      </c>
      <c r="F29" s="34"/>
    </row>
    <row r="30" spans="1:6" ht="15.75">
      <c r="A30" s="17" t="s">
        <v>32</v>
      </c>
      <c r="B30" s="14">
        <v>41782</v>
      </c>
      <c r="C30" s="14">
        <v>41784</v>
      </c>
      <c r="D30" s="15">
        <f t="shared" si="2"/>
        <v>2</v>
      </c>
      <c r="E30" s="37" t="s">
        <v>41</v>
      </c>
      <c r="F30" s="15" t="s">
        <v>54</v>
      </c>
    </row>
    <row r="31" spans="1:6" ht="15.75">
      <c r="A31" s="17" t="s">
        <v>33</v>
      </c>
      <c r="B31" s="14">
        <v>41782</v>
      </c>
      <c r="C31" s="14">
        <v>41784</v>
      </c>
      <c r="D31" s="15">
        <f t="shared" si="2"/>
        <v>2</v>
      </c>
      <c r="E31" s="37" t="s">
        <v>41</v>
      </c>
      <c r="F31" s="15" t="s">
        <v>55</v>
      </c>
    </row>
  </sheetData>
  <sheetProtection autoFilter="0"/>
  <autoFilter ref="A2:F31"/>
  <sortState ref="A2:F13">
    <sortCondition ref="B2:B13"/>
  </sortState>
  <mergeCells count="1">
    <mergeCell ref="A1:F1"/>
  </mergeCells>
  <conditionalFormatting sqref="E3:E31">
    <cfRule type="cellIs" dxfId="4" priority="3" operator="equal">
      <formula>"Atraso"</formula>
    </cfRule>
    <cfRule type="cellIs" dxfId="3" priority="4" operator="equal">
      <formula>"Andamento"</formula>
    </cfRule>
    <cfRule type="cellIs" dxfId="2" priority="5" operator="equal">
      <formula>"Concluído"</formula>
    </cfRule>
  </conditionalFormatting>
  <conditionalFormatting sqref="E4:E31">
    <cfRule type="cellIs" dxfId="1" priority="2" operator="equal">
      <formula>"Iniciar"</formula>
    </cfRule>
  </conditionalFormatting>
  <conditionalFormatting sqref="E1:E1048576">
    <cfRule type="cellIs" dxfId="0" priority="1" operator="equal">
      <formula>"Cancelado"</formula>
    </cfRule>
  </conditionalFormatting>
  <dataValidations count="1">
    <dataValidation type="list" allowBlank="1" showInputMessage="1" showErrorMessage="1" sqref="E3:E31">
      <formula1>Lista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6"/>
  <sheetViews>
    <sheetView workbookViewId="0">
      <selection activeCell="A6" sqref="A6"/>
    </sheetView>
  </sheetViews>
  <sheetFormatPr defaultRowHeight="15"/>
  <cols>
    <col min="1" max="1" width="11.42578125" bestFit="1" customWidth="1"/>
  </cols>
  <sheetData>
    <row r="1" spans="1:1">
      <c r="A1" s="1" t="s">
        <v>38</v>
      </c>
    </row>
    <row r="2" spans="1:1">
      <c r="A2" s="2" t="s">
        <v>41</v>
      </c>
    </row>
    <row r="3" spans="1:1">
      <c r="A3" s="2" t="s">
        <v>36</v>
      </c>
    </row>
    <row r="4" spans="1:1">
      <c r="A4" s="2" t="s">
        <v>39</v>
      </c>
    </row>
    <row r="5" spans="1:1">
      <c r="A5" s="2" t="s">
        <v>40</v>
      </c>
    </row>
    <row r="6" spans="1:1">
      <c r="A6" s="63" t="s">
        <v>65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Capa</vt:lpstr>
      <vt:lpstr>WBS</vt:lpstr>
      <vt:lpstr>Cronograma</vt:lpstr>
      <vt:lpstr>Apoio</vt:lpstr>
      <vt:lpstr>Lista</vt:lpstr>
    </vt:vector>
  </TitlesOfParts>
  <Company>Banco Santander Brasil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2013-12-16T17:31:13Z</dcterms:created>
  <dcterms:modified xsi:type="dcterms:W3CDTF">2014-06-08T15:32:06Z</dcterms:modified>
</cp:coreProperties>
</file>